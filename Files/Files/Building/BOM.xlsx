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E9" i="1" s="1"/>
  <c r="C8" i="1"/>
  <c r="E8" i="1"/>
  <c r="E4" i="1" l="1"/>
  <c r="E5" i="1"/>
  <c r="E7" i="1"/>
  <c r="E2" i="1"/>
  <c r="C3" i="1"/>
  <c r="E3" i="1" s="1"/>
  <c r="C4" i="1"/>
  <c r="C5" i="1"/>
  <c r="C6" i="1"/>
  <c r="E6" i="1" s="1"/>
  <c r="C7" i="1"/>
  <c r="C2" i="1"/>
</calcChain>
</file>

<file path=xl/sharedStrings.xml><?xml version="1.0" encoding="utf-8"?>
<sst xmlns="http://schemas.openxmlformats.org/spreadsheetml/2006/main" count="40" uniqueCount="31">
  <si>
    <t>Smart Car 2WD</t>
  </si>
  <si>
    <t>Name</t>
  </si>
  <si>
    <t>Quantity</t>
  </si>
  <si>
    <t>TCRT5000</t>
  </si>
  <si>
    <t>Arduino Uno</t>
  </si>
  <si>
    <t>Veml6040</t>
  </si>
  <si>
    <t>Status</t>
  </si>
  <si>
    <t>Price (֏)</t>
  </si>
  <si>
    <t>Price ($)</t>
  </si>
  <si>
    <t>Total Price ($)</t>
  </si>
  <si>
    <t>Link/Source</t>
  </si>
  <si>
    <t>Description</t>
  </si>
  <si>
    <t>In Stock</t>
  </si>
  <si>
    <t>Not ordered yet</t>
  </si>
  <si>
    <t>Chassis kit</t>
  </si>
  <si>
    <t>Line Sensor</t>
  </si>
  <si>
    <t>Main board</t>
  </si>
  <si>
    <t>Color sensor</t>
  </si>
  <si>
    <t>H-Bride (L298N)</t>
  </si>
  <si>
    <t>Motor driver</t>
  </si>
  <si>
    <t>Power source</t>
  </si>
  <si>
    <t>9V Li-ion Battery</t>
  </si>
  <si>
    <t>from temu</t>
  </si>
  <si>
    <t>Esp32 Cam</t>
  </si>
  <si>
    <t>for capturing the surroundings and collecting data</t>
  </si>
  <si>
    <t xml:space="preserve">SG90 </t>
  </si>
  <si>
    <t>to rotate the camera</t>
  </si>
  <si>
    <t>Open in WB</t>
  </si>
  <si>
    <t>Open in List.am</t>
  </si>
  <si>
    <t>Open in Temu</t>
  </si>
  <si>
    <t>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</si>
</sst>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* #,##0.00\ [$֏-42B]_-;\-* #,##0.00\ [$֏-42B]_-;_-* &quot;-&quot;??\ [$֏-42B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164" fontId="0" fillId="0" borderId="0" xfId="0" applyNumberFormat="1"/>
    <xf numFmtId="0" fontId="0" fillId="2" borderId="0" xfId="0" applyFill="1" applyAlignment="1">
      <alignment horizontal="center" vertical="center"/>
    </xf>
    <xf numFmtId="44" fontId="0" fillId="0" borderId="0" xfId="0" applyNumberFormat="1"/>
    <xf numFmtId="0" fontId="2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mu.com/goods.html?_bg_fs=1&amp;goods_id=607147966453876&amp;parent_order_sn=PO-010-02064851006073981&amp;add_order=1&amp;_oak_order_sn=010-02064856935033981&amp;_oak_goods_num=1&amp;sku_id=115205518431931&amp;_x_sessn_id=d2dnr9jvrv&amp;refer_page_name=bgt_order_detail&amp;refe" TargetMode="External"/><Relationship Id="rId2" Type="http://schemas.openxmlformats.org/officeDocument/2006/relationships/hyperlink" Target="https://www.wildberries.am/catalog/306803553/detail.aspx" TargetMode="External"/><Relationship Id="rId1" Type="http://schemas.openxmlformats.org/officeDocument/2006/relationships/hyperlink" Target="https://www.temu.com/goods.html?_bg_fs=1&amp;goods_id=601100188917556&amp;parent_order_sn=PO-010-02064851006073981&amp;add_order=1&amp;_oak_order_sn=010-02064809063033981&amp;_oak_goods_num=1&amp;sku_id=17595109066363&amp;_x_sessn_id=rr0plf9xz9&amp;refer_page_name=bgt_order_detail&amp;refe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ist.am/en/item/17214686?ld_src=13&amp;ld_pos=3&amp;ld_surface=post_view" TargetMode="External"/><Relationship Id="rId4" Type="http://schemas.openxmlformats.org/officeDocument/2006/relationships/hyperlink" Target="https://www.list.am/en/item/21538828?ld_src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9"/>
  <sheetViews>
    <sheetView tabSelected="1" workbookViewId="0">
      <selection activeCell="A10" sqref="A10"/>
    </sheetView>
  </sheetViews>
  <sheetFormatPr defaultRowHeight="14.4" x14ac:dyDescent="0.3"/>
  <cols>
    <col min="1" max="1" width="14.6640625" bestFit="1" customWidth="1"/>
    <col min="2" max="2" width="8" bestFit="1" customWidth="1"/>
    <col min="3" max="3" width="7.6640625" bestFit="1" customWidth="1"/>
    <col min="4" max="4" width="11" bestFit="1" customWidth="1"/>
    <col min="5" max="5" width="12.21875" bestFit="1" customWidth="1"/>
    <col min="6" max="6" width="14.109375" bestFit="1" customWidth="1"/>
    <col min="7" max="7" width="13.6640625" bestFit="1" customWidth="1"/>
    <col min="8" max="8" width="42" bestFit="1" customWidth="1"/>
  </cols>
  <sheetData>
    <row r="1" spans="1:8" x14ac:dyDescent="0.3">
      <c r="A1" s="3" t="s">
        <v>1</v>
      </c>
      <c r="B1" s="3" t="s">
        <v>2</v>
      </c>
      <c r="C1" s="3" t="s">
        <v>8</v>
      </c>
      <c r="D1" s="3" t="s">
        <v>7</v>
      </c>
      <c r="E1" s="3" t="s">
        <v>9</v>
      </c>
      <c r="F1" s="3" t="s">
        <v>6</v>
      </c>
      <c r="G1" s="3" t="s">
        <v>10</v>
      </c>
      <c r="H1" s="3" t="s">
        <v>11</v>
      </c>
    </row>
    <row r="2" spans="1:8" x14ac:dyDescent="0.3">
      <c r="A2" t="s">
        <v>0</v>
      </c>
      <c r="B2">
        <v>1</v>
      </c>
      <c r="C2" s="1">
        <f>D2*0.0028</f>
        <v>9.8000000000000007</v>
      </c>
      <c r="D2" s="2">
        <v>3500</v>
      </c>
      <c r="E2" s="4">
        <f>B2*C2</f>
        <v>9.8000000000000007</v>
      </c>
      <c r="F2" t="s">
        <v>12</v>
      </c>
      <c r="G2" s="5" t="s">
        <v>28</v>
      </c>
      <c r="H2" t="s">
        <v>14</v>
      </c>
    </row>
    <row r="3" spans="1:8" x14ac:dyDescent="0.3">
      <c r="A3" t="s">
        <v>3</v>
      </c>
      <c r="B3">
        <v>3</v>
      </c>
      <c r="C3" s="1">
        <f t="shared" ref="C3:C9" si="0">D3*0.0028</f>
        <v>0.55999999999999994</v>
      </c>
      <c r="D3" s="2">
        <v>200</v>
      </c>
      <c r="E3" s="4">
        <f t="shared" ref="E3:E9" si="1">B3*C3</f>
        <v>1.6799999999999997</v>
      </c>
      <c r="F3" t="s">
        <v>30</v>
      </c>
      <c r="G3" s="5" t="s">
        <v>29</v>
      </c>
      <c r="H3" t="s">
        <v>15</v>
      </c>
    </row>
    <row r="4" spans="1:8" x14ac:dyDescent="0.3">
      <c r="A4" t="s">
        <v>4</v>
      </c>
      <c r="B4">
        <v>1</v>
      </c>
      <c r="C4" s="1">
        <f t="shared" si="0"/>
        <v>3.36</v>
      </c>
      <c r="D4" s="2">
        <v>1200</v>
      </c>
      <c r="E4" s="4">
        <f t="shared" si="1"/>
        <v>3.36</v>
      </c>
      <c r="F4" t="s">
        <v>12</v>
      </c>
      <c r="G4" t="s">
        <v>22</v>
      </c>
      <c r="H4" t="s">
        <v>16</v>
      </c>
    </row>
    <row r="5" spans="1:8" x14ac:dyDescent="0.3">
      <c r="A5" t="s">
        <v>18</v>
      </c>
      <c r="B5">
        <v>1</v>
      </c>
      <c r="C5" s="1">
        <f t="shared" si="0"/>
        <v>2.8</v>
      </c>
      <c r="D5" s="2">
        <v>1000</v>
      </c>
      <c r="E5" s="4">
        <f t="shared" si="1"/>
        <v>2.8</v>
      </c>
      <c r="F5" t="s">
        <v>12</v>
      </c>
      <c r="G5" t="s">
        <v>22</v>
      </c>
      <c r="H5" t="s">
        <v>19</v>
      </c>
    </row>
    <row r="6" spans="1:8" x14ac:dyDescent="0.3">
      <c r="A6" t="s">
        <v>21</v>
      </c>
      <c r="B6">
        <v>1</v>
      </c>
      <c r="C6" s="1">
        <f t="shared" si="0"/>
        <v>6.72</v>
      </c>
      <c r="D6" s="2">
        <v>2400</v>
      </c>
      <c r="E6" s="4">
        <f t="shared" si="1"/>
        <v>6.72</v>
      </c>
      <c r="F6" t="s">
        <v>13</v>
      </c>
      <c r="G6" s="5" t="s">
        <v>27</v>
      </c>
      <c r="H6" t="s">
        <v>20</v>
      </c>
    </row>
    <row r="7" spans="1:8" x14ac:dyDescent="0.3">
      <c r="A7" t="s">
        <v>5</v>
      </c>
      <c r="B7">
        <v>1</v>
      </c>
      <c r="C7" s="1">
        <f t="shared" si="0"/>
        <v>5.6</v>
      </c>
      <c r="D7" s="2">
        <v>2000</v>
      </c>
      <c r="E7" s="4">
        <f t="shared" si="1"/>
        <v>5.6</v>
      </c>
      <c r="F7" t="s">
        <v>13</v>
      </c>
      <c r="G7" s="5" t="s">
        <v>28</v>
      </c>
      <c r="H7" t="s">
        <v>17</v>
      </c>
    </row>
    <row r="8" spans="1:8" x14ac:dyDescent="0.3">
      <c r="A8" t="s">
        <v>23</v>
      </c>
      <c r="B8">
        <v>1</v>
      </c>
      <c r="C8" s="1">
        <f t="shared" si="0"/>
        <v>12.6</v>
      </c>
      <c r="D8" s="2">
        <v>4500</v>
      </c>
      <c r="E8" s="4">
        <f t="shared" si="1"/>
        <v>12.6</v>
      </c>
      <c r="F8" t="s">
        <v>30</v>
      </c>
      <c r="G8" s="5" t="s">
        <v>29</v>
      </c>
      <c r="H8" t="s">
        <v>24</v>
      </c>
    </row>
    <row r="9" spans="1:8" x14ac:dyDescent="0.3">
      <c r="A9" t="s">
        <v>25</v>
      </c>
      <c r="B9">
        <v>2</v>
      </c>
      <c r="C9" s="1">
        <f t="shared" si="0"/>
        <v>1.4</v>
      </c>
      <c r="D9" s="2">
        <v>500</v>
      </c>
      <c r="E9" s="4">
        <f t="shared" si="1"/>
        <v>2.8</v>
      </c>
      <c r="F9" t="s">
        <v>12</v>
      </c>
      <c r="G9" t="s">
        <v>22</v>
      </c>
      <c r="H9" t="s">
        <v>26</v>
      </c>
    </row>
    <row r="10" spans="1:8" x14ac:dyDescent="0.3">
      <c r="C10" s="1"/>
      <c r="D10" s="2"/>
      <c r="E10" s="4"/>
    </row>
    <row r="11" spans="1:8" x14ac:dyDescent="0.3">
      <c r="C11" s="1"/>
      <c r="D11" s="2"/>
      <c r="E11" s="4"/>
    </row>
    <row r="12" spans="1:8" x14ac:dyDescent="0.3">
      <c r="C12" s="1"/>
      <c r="D12" s="2"/>
      <c r="E12" s="4"/>
    </row>
    <row r="13" spans="1:8" x14ac:dyDescent="0.3">
      <c r="C13" s="1"/>
      <c r="D13" s="2"/>
      <c r="E13" s="4"/>
    </row>
    <row r="14" spans="1:8" x14ac:dyDescent="0.3">
      <c r="C14" s="1"/>
      <c r="D14" s="2"/>
      <c r="E14" s="4"/>
    </row>
    <row r="15" spans="1:8" x14ac:dyDescent="0.3">
      <c r="C15" s="1"/>
      <c r="D15" s="2"/>
      <c r="E15" s="4"/>
    </row>
    <row r="16" spans="1:8" x14ac:dyDescent="0.3">
      <c r="C16" s="1"/>
      <c r="D16" s="2"/>
      <c r="E16" s="4"/>
    </row>
    <row r="17" spans="3:5" x14ac:dyDescent="0.3">
      <c r="C17" s="1"/>
      <c r="D17" s="2"/>
      <c r="E17" s="4"/>
    </row>
    <row r="18" spans="3:5" x14ac:dyDescent="0.3">
      <c r="C18" s="1"/>
      <c r="D18" s="2"/>
      <c r="E18" s="4"/>
    </row>
    <row r="19" spans="3:5" x14ac:dyDescent="0.3">
      <c r="C19" s="1"/>
      <c r="D19" s="2"/>
      <c r="E19" s="4"/>
    </row>
  </sheetData>
  <hyperlinks>
    <hyperlink ref="G8" r:id="rId1"/>
    <hyperlink ref="G6" r:id="rId2"/>
    <hyperlink ref="G3" r:id="rId3"/>
    <hyperlink ref="G7" r:id="rId4"/>
    <hyperlink ref="G2" r:id="rId5"/>
  </hyperlinks>
  <pageMargins left="0.7" right="0.7" top="0.75" bottom="0.75" header="0.3" footer="0.3"/>
  <pageSetup paperSize="0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2026-10-06T19:57:28Z</dcterms:modified>
</cp:coreProperties>
</file>